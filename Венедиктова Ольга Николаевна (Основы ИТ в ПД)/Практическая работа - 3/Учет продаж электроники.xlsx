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1462B4D-E2EC-48C2-87B1-429C88AABCEE}" xr6:coauthVersionLast="45" xr6:coauthVersionMax="45" xr10:uidLastSave="{00000000-0000-0000-0000-000000000000}"/>
  <bookViews>
    <workbookView xWindow="-120" yWindow="-120" windowWidth="29040" windowHeight="15720" activeTab="1" xr2:uid="{02454CAD-E6CA-4916-92B6-E87230BC5FCD}"/>
  </bookViews>
  <sheets>
    <sheet name="Лист1" sheetId="1" r:id="rId1"/>
    <sheet name="Лист2" sheetId="2" r:id="rId2"/>
    <sheet name="знач_зад_1" sheetId="3" r:id="rId3"/>
    <sheet name="знач_зад_2" sheetId="5" r:id="rId4"/>
  </sheets>
  <definedNames>
    <definedName name="_xlnm._FilterDatabase" localSheetId="1" hidden="1">Лист2!$A$2:$C$6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5" l="1"/>
  <c r="E5" i="5" s="1"/>
  <c r="C6" i="5"/>
  <c r="E6" i="5" s="1"/>
  <c r="C4" i="5"/>
  <c r="E4" i="5" s="1"/>
  <c r="E9" i="5" s="1"/>
  <c r="C7" i="5"/>
  <c r="E7" i="5" s="1"/>
  <c r="C12" i="3"/>
  <c r="D12" i="3"/>
  <c r="E12" i="3"/>
  <c r="B12" i="3"/>
  <c r="C11" i="3"/>
  <c r="D11" i="3"/>
  <c r="E11" i="3"/>
  <c r="B11" i="3"/>
  <c r="C10" i="3"/>
  <c r="D10" i="3"/>
  <c r="E10" i="3"/>
  <c r="B10" i="3"/>
  <c r="C6" i="2"/>
  <c r="C5" i="2"/>
  <c r="C3" i="2"/>
  <c r="C4" i="2"/>
  <c r="G3" i="1"/>
  <c r="H2" i="1"/>
  <c r="C3" i="1"/>
  <c r="C4" i="1"/>
  <c r="C5" i="1"/>
  <c r="C6" i="1"/>
  <c r="C2" i="1"/>
  <c r="E7" i="1" l="1"/>
  <c r="F7" i="1"/>
  <c r="D7" i="1"/>
  <c r="G6" i="1"/>
  <c r="H6" i="1" s="1"/>
  <c r="G5" i="1"/>
  <c r="H5" i="1" s="1"/>
  <c r="G4" i="1"/>
  <c r="H4" i="1" s="1"/>
  <c r="H3" i="1"/>
  <c r="G2" i="1"/>
</calcChain>
</file>

<file path=xl/sharedStrings.xml><?xml version="1.0" encoding="utf-8"?>
<sst xmlns="http://schemas.openxmlformats.org/spreadsheetml/2006/main" count="54" uniqueCount="54">
  <si>
    <t>Январь</t>
  </si>
  <si>
    <t>Февраль</t>
  </si>
  <si>
    <t>Март</t>
  </si>
  <si>
    <t>Итог</t>
  </si>
  <si>
    <t>Среднее</t>
  </si>
  <si>
    <t>Премия</t>
  </si>
  <si>
    <t>Иванов</t>
  </si>
  <si>
    <t>Петр</t>
  </si>
  <si>
    <t>Владимир</t>
  </si>
  <si>
    <t>Александр</t>
  </si>
  <si>
    <t>Сергей</t>
  </si>
  <si>
    <t>Смирнов</t>
  </si>
  <si>
    <t>Кузнецов</t>
  </si>
  <si>
    <t>Егоров</t>
  </si>
  <si>
    <t xml:space="preserve">Воронова </t>
  </si>
  <si>
    <t>Елизавета</t>
  </si>
  <si>
    <t>Фамилия сотрудника</t>
  </si>
  <si>
    <t>Имя сотрудника</t>
  </si>
  <si>
    <t>ФИ сотрудника</t>
  </si>
  <si>
    <t>Курс $</t>
  </si>
  <si>
    <t>Страна</t>
  </si>
  <si>
    <t>Цена(долл)</t>
  </si>
  <si>
    <t>Цена(руб)</t>
  </si>
  <si>
    <t>Англия</t>
  </si>
  <si>
    <t>Болгария</t>
  </si>
  <si>
    <t>Бельгия</t>
  </si>
  <si>
    <t>Бразилия</t>
  </si>
  <si>
    <t>Дни недели</t>
  </si>
  <si>
    <t>1 неделя</t>
  </si>
  <si>
    <t>2 неделя</t>
  </si>
  <si>
    <t>3 неделя</t>
  </si>
  <si>
    <t>4 неделя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</si>
  <si>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</si>
  <si>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</si>
  <si>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</si>
  <si>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</si>
  <si>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</si>
  <si>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</si>
  <si>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</si>
  <si>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r>
      <t>Средняя t</t>
    </r>
    <r>
      <rPr>
        <sz val="11"/>
        <color theme="1"/>
        <rFont val="Bahnschrift"/>
        <family val="2"/>
        <charset val="204"/>
      </rPr>
      <t>°</t>
    </r>
  </si>
  <si>
    <t>Холодная t°</t>
  </si>
  <si>
    <t>Теплая t°</t>
  </si>
  <si>
    <t>Мусс из яблока</t>
  </si>
  <si>
    <t>Всего порций</t>
  </si>
  <si>
    <t>Продукт</t>
  </si>
  <si>
    <t>Раскладка на одну порцию(г)</t>
  </si>
  <si>
    <t>Всего(г)</t>
  </si>
  <si>
    <t>Стоимость кг, в руб</t>
  </si>
  <si>
    <t>Стоимость продукта, в руб</t>
  </si>
  <si>
    <t>Яблоки</t>
  </si>
  <si>
    <t>Сахар</t>
  </si>
  <si>
    <t>Желатин</t>
  </si>
  <si>
    <t>Вода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</si>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</sst>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164" formatCode="_-[$$-409]* #,##0.00_ ;_-[$$-409]* \-#,##0.00\ ;_-[$$-409]* &quot;-&quot;??_ ;_-@_ "/>
    <numFmt numFmtId="165" formatCode="_-* #,##0.00\ [$₽-419]_-;\-* #,##0.00\ [$₽-419]_-;_-* &quot;-&quot;??\ [$₽-419]_-;_-@_-"/>
    <numFmt numFmtId="166" formatCode="#,##0.00\ [$₽-419]"/>
    <numFmt numFmtId="167" formatCode="[$$-409]#,##0.00_ ;\-[$$-409]#,##0.00\ "/>
  </numFmts>
  <fonts count="5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Bahnschrift"/>
      <family val="2"/>
      <charset val="204"/>
    </font>
    <font>
      <b/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/>
    <xf numFmtId="0" fontId="4" fillId="0" borderId="1" xfId="0" applyFont="1" applyBorder="1"/>
    <xf numFmtId="44" fontId="0" fillId="2" borderId="1" xfId="0" applyNumberFormat="1" applyFill="1" applyBorder="1"/>
    <xf numFmtId="44" fontId="0" fillId="0" borderId="1" xfId="0" applyNumberFormat="1" applyBorder="1"/>
    <xf numFmtId="0" fontId="0" fillId="3" borderId="1" xfId="0" applyFill="1" applyBorder="1"/>
    <xf numFmtId="0" fontId="2" fillId="2" borderId="0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7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1152525</xdr:colOff>
      <xdr:row>8</xdr:row>
      <xdr:rowOff>28575</xdr:rowOff>
    </xdr:from>
    <xdr:to>
      <xdr:col>5</xdr:col>
      <xdr:colOff>190781</xdr:colOff>
      <xdr:row>9</xdr:row>
      <xdr:rowOff>123865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9F030A0-AACA-4CC0-8243-16D541690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7175" y="1552575"/>
          <a:ext cx="2010056" cy="285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53A8-A98E-432D-ADC0-826027366E5E}">
  <dimension ref="A1:H7"/>
  <sheetViews>
    <sheetView workbookViewId="0">
      <selection activeCell="D2" sqref="D2:D6"/>
    </sheetView>
  </sheetViews>
  <sheetFormatPr defaultRowHeight="15" x14ac:dyDescent="0.25"/>
  <cols>
    <col min="1" max="1" width="27.42578125" customWidth="1"/>
    <col min="2" max="2" width="16.28515625" customWidth="1"/>
    <col min="3" max="3" width="26.28515625" customWidth="1"/>
  </cols>
  <sheetData>
    <row r="1" spans="1:8" x14ac:dyDescent="0.25">
      <c r="A1" s="1" t="s">
        <v>16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5</v>
      </c>
    </row>
    <row r="2" spans="1:8" x14ac:dyDescent="0.25">
      <c r="A2" s="1" t="s">
        <v>6</v>
      </c>
      <c r="B2" s="1" t="s">
        <v>7</v>
      </c>
      <c r="C2" s="1" t="str">
        <f>CONCATENATE(A2," ",B2)</f>
        <v>Иванов Петр</v>
      </c>
      <c r="D2" s="1">
        <v>29700</v>
      </c>
      <c r="E2" s="1">
        <v>16000</v>
      </c>
      <c r="F2" s="1">
        <v>45000</v>
      </c>
      <c r="G2" s="1">
        <f>SUM(D2:F2)</f>
        <v>90700</v>
      </c>
      <c r="H2" s="1">
        <f>IF(G2&gt;90000,G2*0.1,0)</f>
        <v>9070</v>
      </c>
    </row>
    <row r="3" spans="1:8" x14ac:dyDescent="0.25">
      <c r="A3" s="1" t="s">
        <v>11</v>
      </c>
      <c r="B3" s="1" t="s">
        <v>8</v>
      </c>
      <c r="C3" s="1" t="str">
        <f t="shared" ref="C3:C6" si="0">CONCATENATE(A3," ",B3)</f>
        <v>Смирнов Владимир</v>
      </c>
      <c r="D3" s="1">
        <v>13000</v>
      </c>
      <c r="E3" s="1">
        <v>47000</v>
      </c>
      <c r="F3" s="1">
        <v>26000</v>
      </c>
      <c r="G3" s="1">
        <f>SUM(D3:F3)</f>
        <v>86000</v>
      </c>
      <c r="H3" s="1">
        <f t="shared" ref="H3:H6" si="1">IF(G3&gt;90000,G3*0.1,0)</f>
        <v>0</v>
      </c>
    </row>
    <row r="4" spans="1:8" x14ac:dyDescent="0.25">
      <c r="A4" s="1" t="s">
        <v>12</v>
      </c>
      <c r="B4" s="1" t="s">
        <v>9</v>
      </c>
      <c r="C4" s="1" t="str">
        <f t="shared" si="0"/>
        <v>Кузнецов Александр</v>
      </c>
      <c r="D4" s="1">
        <v>23000</v>
      </c>
      <c r="E4" s="1">
        <v>37000</v>
      </c>
      <c r="F4" s="1">
        <v>21000</v>
      </c>
      <c r="G4" s="1">
        <f>SUM(D4:F4)</f>
        <v>81000</v>
      </c>
      <c r="H4" s="1">
        <f t="shared" si="1"/>
        <v>0</v>
      </c>
    </row>
    <row r="5" spans="1:8" x14ac:dyDescent="0.25">
      <c r="A5" s="1" t="s">
        <v>13</v>
      </c>
      <c r="B5" s="1" t="s">
        <v>10</v>
      </c>
      <c r="C5" s="1" t="str">
        <f t="shared" si="0"/>
        <v>Егоров Сергей</v>
      </c>
      <c r="D5" s="1">
        <v>26000</v>
      </c>
      <c r="E5" s="1">
        <v>50000</v>
      </c>
      <c r="F5" s="1">
        <v>14000</v>
      </c>
      <c r="G5" s="1">
        <f>SUM(D5:F5)</f>
        <v>90000</v>
      </c>
      <c r="H5" s="1">
        <f t="shared" si="1"/>
        <v>0</v>
      </c>
    </row>
    <row r="6" spans="1:8" x14ac:dyDescent="0.25">
      <c r="A6" s="1" t="s">
        <v>14</v>
      </c>
      <c r="B6" s="1" t="s">
        <v>15</v>
      </c>
      <c r="C6" s="1" t="str">
        <f t="shared" si="0"/>
        <v>Воронова  Елизавета</v>
      </c>
      <c r="D6" s="1">
        <v>23000</v>
      </c>
      <c r="E6" s="1">
        <v>34000</v>
      </c>
      <c r="F6" s="1">
        <v>40000</v>
      </c>
      <c r="G6" s="1">
        <f>SUM(D6:F6)</f>
        <v>97000</v>
      </c>
      <c r="H6" s="1">
        <f t="shared" si="1"/>
        <v>9700</v>
      </c>
    </row>
    <row r="7" spans="1:8" x14ac:dyDescent="0.25">
      <c r="A7" s="1"/>
      <c r="B7" s="1"/>
      <c r="C7" s="1" t="s">
        <v>4</v>
      </c>
      <c r="D7" s="1">
        <f>AVERAGE(D2:D6)</f>
        <v>22940</v>
      </c>
      <c r="E7" s="1">
        <f t="shared" ref="E7:F7" si="2">AVERAGE(E2:E6)</f>
        <v>36800</v>
      </c>
      <c r="F7" s="1">
        <f t="shared" si="2"/>
        <v>29200</v>
      </c>
      <c r="G7" s="1"/>
      <c r="H7" s="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66AB-6178-4FDB-BAB7-CF4BE3D8134A}">
  <dimension ref="A1:C9"/>
  <sheetViews>
    <sheetView tabSelected="1" workbookViewId="0">
      <selection activeCell="B3" sqref="B3:B6"/>
    </sheetView>
  </sheetViews>
  <sheetFormatPr defaultRowHeight="15" x14ac:dyDescent="0.25"/>
  <cols>
    <col min="2" max="2" width="13.5703125" style="2" customWidth="1"/>
    <col min="3" max="3" width="12.28515625" customWidth="1"/>
  </cols>
  <sheetData>
    <row r="1" spans="1:3" x14ac:dyDescent="0.25">
      <c r="A1" s="1" t="s">
        <v>19</v>
      </c>
      <c r="B1" s="4">
        <v>80.3</v>
      </c>
    </row>
    <row r="2" spans="1:3" x14ac:dyDescent="0.25">
      <c r="A2" s="1" t="s">
        <v>20</v>
      </c>
      <c r="B2" s="3" t="s">
        <v>21</v>
      </c>
      <c r="C2" s="1" t="s">
        <v>22</v>
      </c>
    </row>
    <row r="3" spans="1:3" x14ac:dyDescent="0.25">
      <c r="A3" s="1" t="s">
        <v>26</v>
      </c>
      <c r="B3" s="16">
        <v>1100</v>
      </c>
      <c r="C3" s="4">
        <f>B3*$B$1</f>
        <v>88330</v>
      </c>
    </row>
    <row r="4" spans="1:3" x14ac:dyDescent="0.25">
      <c r="A4" s="1" t="s">
        <v>23</v>
      </c>
      <c r="B4" s="16">
        <v>600</v>
      </c>
      <c r="C4" s="4">
        <f>B4*$B$1</f>
        <v>48180</v>
      </c>
    </row>
    <row r="5" spans="1:3" x14ac:dyDescent="0.25">
      <c r="A5" s="1" t="s">
        <v>25</v>
      </c>
      <c r="B5" s="16">
        <v>420</v>
      </c>
      <c r="C5" s="4">
        <f>B5*$B$1</f>
        <v>33726</v>
      </c>
    </row>
    <row r="6" spans="1:3" x14ac:dyDescent="0.25">
      <c r="A6" s="1" t="s">
        <v>24</v>
      </c>
      <c r="B6" s="16">
        <v>250</v>
      </c>
      <c r="C6" s="4">
        <f>B6*$B$1</f>
        <v>20075</v>
      </c>
    </row>
    <row r="8" spans="1:3" x14ac:dyDescent="0.25">
      <c r="C8" s="2"/>
    </row>
    <row r="9" spans="1:3" x14ac:dyDescent="0.25">
      <c r="C9" s="2"/>
    </row>
  </sheetData>
  <sortState xmlns:xlrd2="http://schemas.microsoft.com/office/spreadsheetml/2017/richdata2" ref="A3:C6">
    <sortCondition descending="1" ref="C3:C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A404-51C9-466F-A3F3-94F1318A891E}">
  <dimension ref="A1:E12"/>
  <sheetViews>
    <sheetView view="pageLayout" zoomScaleNormal="100" workbookViewId="0">
      <selection activeCell="F18" sqref="F18"/>
    </sheetView>
  </sheetViews>
  <sheetFormatPr defaultRowHeight="15" x14ac:dyDescent="0.25"/>
  <cols>
    <col min="1" max="1" width="12.85546875" customWidth="1"/>
  </cols>
  <sheetData>
    <row r="1" spans="1:5" x14ac:dyDescent="0.25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</row>
    <row r="2" spans="1:5" x14ac:dyDescent="0.25">
      <c r="A2" s="1" t="s">
        <v>32</v>
      </c>
      <c r="B2" s="1">
        <v>-10</v>
      </c>
      <c r="C2" s="1">
        <v>-9</v>
      </c>
      <c r="D2" s="1">
        <v>-7</v>
      </c>
      <c r="E2" s="1">
        <v>0</v>
      </c>
    </row>
    <row r="3" spans="1:5" x14ac:dyDescent="0.25">
      <c r="A3" s="1" t="s">
        <v>33</v>
      </c>
      <c r="B3" s="1">
        <v>-8</v>
      </c>
      <c r="C3" s="1">
        <v>-6</v>
      </c>
      <c r="D3" s="1">
        <v>-5</v>
      </c>
      <c r="E3" s="1">
        <v>-1</v>
      </c>
    </row>
    <row r="4" spans="1:5" x14ac:dyDescent="0.25">
      <c r="A4" s="1" t="s">
        <v>34</v>
      </c>
      <c r="B4" s="1">
        <v>-15</v>
      </c>
      <c r="C4" s="1">
        <v>-10</v>
      </c>
      <c r="D4" s="1">
        <v>-4</v>
      </c>
      <c r="E4" s="1">
        <v>2</v>
      </c>
    </row>
    <row r="5" spans="1:5" x14ac:dyDescent="0.25">
      <c r="A5" s="1" t="s">
        <v>35</v>
      </c>
      <c r="B5" s="1">
        <v>-6</v>
      </c>
      <c r="C5" s="1">
        <v>-4</v>
      </c>
      <c r="D5" s="1">
        <v>-3</v>
      </c>
      <c r="E5" s="1">
        <v>4</v>
      </c>
    </row>
    <row r="6" spans="1:5" x14ac:dyDescent="0.25">
      <c r="A6" s="1" t="s">
        <v>36</v>
      </c>
      <c r="B6" s="1">
        <v>-2</v>
      </c>
      <c r="C6" s="1">
        <v>-3</v>
      </c>
      <c r="D6" s="1">
        <v>-6</v>
      </c>
      <c r="E6" s="1">
        <v>3</v>
      </c>
    </row>
    <row r="7" spans="1:5" x14ac:dyDescent="0.25">
      <c r="A7" s="1" t="s">
        <v>37</v>
      </c>
      <c r="B7" s="1">
        <v>0</v>
      </c>
      <c r="C7" s="1">
        <v>-2</v>
      </c>
      <c r="D7" s="1">
        <v>-2</v>
      </c>
      <c r="E7" s="1">
        <v>-2</v>
      </c>
    </row>
    <row r="8" spans="1:5" x14ac:dyDescent="0.25">
      <c r="A8" s="1" t="s">
        <v>38</v>
      </c>
      <c r="B8" s="1">
        <v>-11</v>
      </c>
      <c r="C8" s="1">
        <v>-1</v>
      </c>
      <c r="D8" s="1">
        <v>0</v>
      </c>
      <c r="E8" s="1">
        <v>8</v>
      </c>
    </row>
    <row r="10" spans="1:5" x14ac:dyDescent="0.25">
      <c r="A10" s="1" t="s">
        <v>39</v>
      </c>
      <c r="B10" s="1">
        <f>ROUND(AVERAGE(B2:B8),1)</f>
        <v>-7.4</v>
      </c>
      <c r="C10" s="1">
        <f t="shared" ref="C10:E10" si="0">ROUND(AVERAGE(C2:C8),1)</f>
        <v>-5</v>
      </c>
      <c r="D10" s="1">
        <f t="shared" si="0"/>
        <v>-3.9</v>
      </c>
      <c r="E10" s="1">
        <f t="shared" si="0"/>
        <v>2</v>
      </c>
    </row>
    <row r="11" spans="1:5" x14ac:dyDescent="0.25">
      <c r="A11" s="1" t="s">
        <v>40</v>
      </c>
      <c r="B11" s="1">
        <f>ROUND(MIN(B2:B8),1)</f>
        <v>-15</v>
      </c>
      <c r="C11" s="1">
        <f t="shared" ref="C11:E11" si="1">ROUND(MIN(C2:C8),1)</f>
        <v>-10</v>
      </c>
      <c r="D11" s="1">
        <f t="shared" si="1"/>
        <v>-7</v>
      </c>
      <c r="E11" s="1">
        <f t="shared" si="1"/>
        <v>-2</v>
      </c>
    </row>
    <row r="12" spans="1:5" x14ac:dyDescent="0.25">
      <c r="A12" s="1" t="s">
        <v>41</v>
      </c>
      <c r="B12" s="1">
        <f>ROUND(MAX(B2:B8),1)</f>
        <v>0</v>
      </c>
      <c r="C12" s="1">
        <f t="shared" ref="C12:E12" si="2">ROUND(MAX(C2:C8),1)</f>
        <v>-1</v>
      </c>
      <c r="D12" s="1">
        <f t="shared" si="2"/>
        <v>0</v>
      </c>
      <c r="E12" s="1">
        <f t="shared" si="2"/>
        <v>8</v>
      </c>
    </row>
  </sheetData>
  <phoneticPr fontId="1" type="noConversion"/>
  <pageMargins left="0.7" right="0.7" top="0.75" bottom="0.75" header="0.3" footer="0.3"/>
  <pageSetup paperSize="9" orientation="portrait" r:id="rId1"/>
  <headerFooter>
    <oddHeader>&amp;CМхайлов 11 ОП</oddHeader>
    <oddFooter>&amp;CЗачетное задание № 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CD67-00E9-43F4-8E69-EE4A724CD4C1}">
  <dimension ref="A1:E9"/>
  <sheetViews>
    <sheetView view="pageLayout" zoomScaleNormal="100" workbookViewId="0">
      <selection activeCell="E20" sqref="E20"/>
    </sheetView>
  </sheetViews>
  <sheetFormatPr defaultRowHeight="15" x14ac:dyDescent="0.25"/>
  <cols>
    <col min="1" max="1" width="12.85546875" customWidth="1"/>
    <col min="2" max="2" width="20.140625" customWidth="1"/>
    <col min="4" max="4" width="14.28515625" customWidth="1"/>
    <col min="5" max="5" width="10.5703125" customWidth="1"/>
  </cols>
  <sheetData>
    <row r="1" spans="1:5" x14ac:dyDescent="0.25">
      <c r="A1" s="13" t="s">
        <v>42</v>
      </c>
      <c r="B1" s="13"/>
      <c r="C1" s="13"/>
      <c r="D1" s="13"/>
      <c r="E1" s="13"/>
    </row>
    <row r="2" spans="1:5" x14ac:dyDescent="0.25">
      <c r="A2" s="9" t="s">
        <v>43</v>
      </c>
      <c r="B2" s="14">
        <v>7</v>
      </c>
      <c r="C2" s="14"/>
      <c r="D2" s="14"/>
      <c r="E2" s="14"/>
    </row>
    <row r="3" spans="1:5" ht="60" x14ac:dyDescent="0.25">
      <c r="A3" s="5" t="s">
        <v>44</v>
      </c>
      <c r="B3" s="6" t="s">
        <v>45</v>
      </c>
      <c r="C3" s="5" t="s">
        <v>46</v>
      </c>
      <c r="D3" s="6" t="s">
        <v>47</v>
      </c>
      <c r="E3" s="6" t="s">
        <v>48</v>
      </c>
    </row>
    <row r="4" spans="1:5" x14ac:dyDescent="0.25">
      <c r="A4" s="1" t="s">
        <v>52</v>
      </c>
      <c r="B4" s="7">
        <v>70</v>
      </c>
      <c r="C4" s="1">
        <f>ROUND(B4*$B$2,1)</f>
        <v>490</v>
      </c>
      <c r="D4" s="8">
        <v>8</v>
      </c>
      <c r="E4" s="11">
        <f>ROUND((C4/1000)*D4,2)</f>
        <v>3.92</v>
      </c>
    </row>
    <row r="5" spans="1:5" x14ac:dyDescent="0.25">
      <c r="A5" s="1" t="s">
        <v>50</v>
      </c>
      <c r="B5" s="7">
        <v>20</v>
      </c>
      <c r="C5" s="1">
        <f>ROUND(B5*$B$2,1)</f>
        <v>140</v>
      </c>
      <c r="D5" s="8">
        <v>45</v>
      </c>
      <c r="E5" s="11">
        <f>ROUND((C5/1000)*D5,2)</f>
        <v>6.3</v>
      </c>
    </row>
    <row r="6" spans="1:5" x14ac:dyDescent="0.25">
      <c r="A6" s="1" t="s">
        <v>51</v>
      </c>
      <c r="B6" s="7">
        <v>3</v>
      </c>
      <c r="C6" s="1">
        <f>ROUND(B6*$B$2,1)</f>
        <v>21</v>
      </c>
      <c r="D6" s="8">
        <v>1000</v>
      </c>
      <c r="E6" s="11">
        <f>ROUND((C6/1000)*D6,2)</f>
        <v>21</v>
      </c>
    </row>
    <row r="7" spans="1:5" x14ac:dyDescent="0.25">
      <c r="A7" s="1" t="s">
        <v>49</v>
      </c>
      <c r="B7" s="7">
        <v>57</v>
      </c>
      <c r="C7" s="1">
        <f>ROUND(B7*$B$2,1)</f>
        <v>399</v>
      </c>
      <c r="D7" s="8">
        <v>60</v>
      </c>
      <c r="E7" s="11">
        <f>ROUND((C7/1000)*D7,2)</f>
        <v>23.94</v>
      </c>
    </row>
    <row r="9" spans="1:5" x14ac:dyDescent="0.25">
      <c r="A9" s="15" t="s">
        <v>53</v>
      </c>
      <c r="B9" s="15"/>
      <c r="C9" s="15"/>
      <c r="D9" s="15"/>
      <c r="E9" s="10">
        <f>ROUND(SUM(E4:E7),2)</f>
        <v>55.16</v>
      </c>
    </row>
  </sheetData>
  <sortState xmlns:xlrd2="http://schemas.microsoft.com/office/spreadsheetml/2017/richdata2" ref="A4:E7">
    <sortCondition ref="E4:E7"/>
  </sortState>
  <mergeCells count="3">
    <mergeCell ref="A1:E1"/>
    <mergeCell ref="B2:E2"/>
    <mergeCell ref="A9:D9"/>
  </mergeCells>
  <pageMargins left="0.7" right="0.7" top="0.75" bottom="0.75" header="0.3" footer="0.3"/>
  <pageSetup paperSize="9" orientation="portrait" r:id="rId1"/>
  <headerFooter>
    <oddHeader>&amp;CМхайлов 11 ОП</oddHeader>
    <oddFooter>&amp;CЗачетное задание №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знач_зад_1</vt:lpstr>
      <vt:lpstr>знач_зад_2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2026-09-28T06:18:30Z</dcterms:created>
  <dcterms:modified xsi:type="dcterms:W3CDTF">2026-09-28T09:27:48Z</dcterms:modified>
</cp:coreProperties>
</file>